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ducacionpublica-my.sharepoint.com/personal/alonso_arrano_dep_cl/Documents/2024/SAE - Anotate en la lista/reporteria_ael/correos/"/>
    </mc:Choice>
  </mc:AlternateContent>
  <xr:revisionPtr revIDLastSave="140" documentId="11_AD4D2F04E46CFB4ACB3E20CA8550FF6C693EDF25" xr6:coauthVersionLast="47" xr6:coauthVersionMax="47" xr10:uidLastSave="{931D33D5-1393-4960-9B92-1EE19A7DC0CE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Hoja1!$A$1:$A$34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8" i="1"/>
  <c r="D27" i="1"/>
  <c r="D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</calcChain>
</file>

<file path=xl/sharedStrings.xml><?xml version="1.0" encoding="utf-8"?>
<sst xmlns="http://schemas.openxmlformats.org/spreadsheetml/2006/main" count="199" uniqueCount="144">
  <si>
    <t>SLEP</t>
  </si>
  <si>
    <t>Nombre</t>
  </si>
  <si>
    <t>correo</t>
  </si>
  <si>
    <t>archivo</t>
  </si>
  <si>
    <t>Llanquihue</t>
  </si>
  <si>
    <t>Ana Galleguillos</t>
  </si>
  <si>
    <t>ana.galleguillos@slepllanquihue.cl</t>
  </si>
  <si>
    <t>Chiloé</t>
  </si>
  <si>
    <t>Eduardo Sarmiento</t>
  </si>
  <si>
    <t>Altircio.sarmiento@slepchiloe.gob.cl</t>
  </si>
  <si>
    <t>copia</t>
  </si>
  <si>
    <t>luis.gajardo@slepchiloe.gob.cl; camilo.elgueta@slepchiloe.gob.cl</t>
  </si>
  <si>
    <t>Valdivia</t>
  </si>
  <si>
    <t>Jasmín San Martin</t>
  </si>
  <si>
    <t>jasmin.sanmartin@slepvaldivia.gob.cl</t>
  </si>
  <si>
    <t>Santa Rosa</t>
  </si>
  <si>
    <t>josefina.abarzua@slepsantarosa.gob.cl</t>
  </si>
  <si>
    <t>Jenson Aleman</t>
  </si>
  <si>
    <t>jenson.aleman@slepsantarosa.gob.cl</t>
  </si>
  <si>
    <t>Santa Corina</t>
  </si>
  <si>
    <t>Juan Durán</t>
  </si>
  <si>
    <t>juan.duran@slepsantacorina.gob.cl</t>
  </si>
  <si>
    <t>Maule Costa</t>
  </si>
  <si>
    <t>Yolanda Urrutia</t>
  </si>
  <si>
    <t>yolanda.urrutia@slepmaulecosta.gob.cl</t>
  </si>
  <si>
    <t>Los Libertadores</t>
  </si>
  <si>
    <t>Manuel Coloma</t>
  </si>
  <si>
    <t>manuel.coloma@sleploslibertadores.gob.cl</t>
  </si>
  <si>
    <t>Licancabur</t>
  </si>
  <si>
    <t>David Cruz</t>
  </si>
  <si>
    <t>david.cruz@sleplicancabur.cl</t>
  </si>
  <si>
    <t>Andalién Costa</t>
  </si>
  <si>
    <t>Del Pino</t>
  </si>
  <si>
    <t>Rodrigo Yañez</t>
  </si>
  <si>
    <t>rodrigo.yanez@edudelpino.gob.cl</t>
  </si>
  <si>
    <t>Marcela Valencia</t>
  </si>
  <si>
    <t>marcela.valencia@slepandaliencosta.gob.cl</t>
  </si>
  <si>
    <t>Punilla Cordillera</t>
  </si>
  <si>
    <t>Eugenio Fierro</t>
  </si>
  <si>
    <t>eugenio.fierro@sleppunillacordillera.cl</t>
  </si>
  <si>
    <t>karla.sepulveda@sleppunillacordillera.cl</t>
  </si>
  <si>
    <t>Magallanes</t>
  </si>
  <si>
    <t>Carolina Figueroa</t>
  </si>
  <si>
    <t>carolina.figueroa@slepmagallanes.cl</t>
  </si>
  <si>
    <t>Aysen</t>
  </si>
  <si>
    <t>freddy.moraga@slepaysen.cl</t>
  </si>
  <si>
    <t>Ivy Guedeney</t>
  </si>
  <si>
    <t>ivy.guedeney@slepaysen.cl</t>
  </si>
  <si>
    <t xml:space="preserve">Iquique </t>
  </si>
  <si>
    <t>Mario Reyes</t>
  </si>
  <si>
    <t>mario.reyes@slepiquique.cl</t>
  </si>
  <si>
    <t>Costa Araucanía</t>
  </si>
  <si>
    <t>Sandra Padilla</t>
  </si>
  <si>
    <t>sandra.padilla@slepca.cl</t>
  </si>
  <si>
    <t xml:space="preserve">Atacama </t>
  </si>
  <si>
    <t>Marcelo Quiroga</t>
  </si>
  <si>
    <t>marcelo.quiroga@slepatacama.cl</t>
  </si>
  <si>
    <t>Huasco</t>
  </si>
  <si>
    <t>Maryorie Alquinta</t>
  </si>
  <si>
    <t>maryorie.alquinta@slephuasco.cl</t>
  </si>
  <si>
    <t>Puerto Cordillera</t>
  </si>
  <si>
    <t>Margarita Campillo</t>
  </si>
  <si>
    <t>margarita.campillo@slepuertocordillera.cl</t>
  </si>
  <si>
    <t>Valparaíso</t>
  </si>
  <si>
    <t>Angeline castillo</t>
  </si>
  <si>
    <t>angeline.castillo@slepvalparaiso.cl</t>
  </si>
  <si>
    <t>Barrancas</t>
  </si>
  <si>
    <t>Daniela Chamorro</t>
  </si>
  <si>
    <t>daniela.chamorro@slepb.cl</t>
  </si>
  <si>
    <t>Gabriela Mistral</t>
  </si>
  <si>
    <t>Marta Hinojosa</t>
  </si>
  <si>
    <t>marta.hinojosa@slepgm.cl</t>
  </si>
  <si>
    <t>Colchagua</t>
  </si>
  <si>
    <t>Oscar Ubilla</t>
  </si>
  <si>
    <t>oscar.ubilla@slepcolchagua.cl</t>
  </si>
  <si>
    <t>Andalién Sur</t>
  </si>
  <si>
    <t>Elena Saez</t>
  </si>
  <si>
    <t>elena.saez@andaliensur.cl</t>
  </si>
  <si>
    <t>Chinchorro</t>
  </si>
  <si>
    <t>Carolina Aguilera</t>
  </si>
  <si>
    <t>carolina.aguilera@epchinchorro.cl</t>
  </si>
  <si>
    <t>shirley.villegas@epchinchorro.cl</t>
  </si>
  <si>
    <t>Nombre Completo</t>
  </si>
  <si>
    <t>reporte_llanquihue.html</t>
  </si>
  <si>
    <t>reporte_valdivia.html</t>
  </si>
  <si>
    <t>reporte_licancabur.html</t>
  </si>
  <si>
    <t>reporte_magallanes.html</t>
  </si>
  <si>
    <t>reporte_Chiloé.html</t>
  </si>
  <si>
    <t>reporte_iquique.html</t>
  </si>
  <si>
    <t>reporte_atacama.html</t>
  </si>
  <si>
    <t>reporte_huasco.html</t>
  </si>
  <si>
    <t>reporte_valparaíso.html</t>
  </si>
  <si>
    <t>reporte_barrancas.html</t>
  </si>
  <si>
    <t>reporte_colchagua.html</t>
  </si>
  <si>
    <t>reporte_chinchorro.html</t>
  </si>
  <si>
    <t>reporte_andalién_costa.html</t>
  </si>
  <si>
    <t>reporte_santa_rosa.html</t>
  </si>
  <si>
    <t>reporte_santa_corina.html</t>
  </si>
  <si>
    <t>reporte_maule_costa.html</t>
  </si>
  <si>
    <t>reporte_los_libertadores.html</t>
  </si>
  <si>
    <t>reporte_del_pino.html</t>
  </si>
  <si>
    <t>reporte_punilla_cordillera.html</t>
  </si>
  <si>
    <t>reporte_costa_araucanía.html</t>
  </si>
  <si>
    <t>reporte_puerto_cordillera.html</t>
  </si>
  <si>
    <t>reporte_gabriela_mistral.html</t>
  </si>
  <si>
    <t>reporte_andalién_sur.html</t>
  </si>
  <si>
    <t>reporte_aysén.html</t>
  </si>
  <si>
    <t>Costa Central</t>
  </si>
  <si>
    <t>Tomás Gonzalez</t>
  </si>
  <si>
    <t>tomas.gonzalez@slepcostacentral.gob.cl</t>
  </si>
  <si>
    <t>reporte_costa_central.html</t>
  </si>
  <si>
    <t>Elqui</t>
  </si>
  <si>
    <t>rosita.zepeda@slepelqui.gob.cl</t>
  </si>
  <si>
    <t>Rosita Zepeda</t>
  </si>
  <si>
    <t>reporte_elqui.html</t>
  </si>
  <si>
    <t>marco.vega@slepelqui.gob.cl</t>
  </si>
  <si>
    <t>Tipo_SLEP</t>
  </si>
  <si>
    <t>Antiguo</t>
  </si>
  <si>
    <t>Nuevo</t>
  </si>
  <si>
    <t>Petorca</t>
  </si>
  <si>
    <t>Carolina Villagra Marín </t>
  </si>
  <si>
    <t>carolina.villagra@sleppetorca.gob.cl </t>
  </si>
  <si>
    <t>RUT</t>
  </si>
  <si>
    <t>18.064.502-0</t>
  </si>
  <si>
    <t>Los Andes</t>
  </si>
  <si>
    <t>Miguel Ángel Briceño</t>
  </si>
  <si>
    <t>16.387.617-5</t>
  </si>
  <si>
    <t>miguel.briceno@sleplosandes.gob.cl</t>
  </si>
  <si>
    <t>Aconcagua</t>
  </si>
  <si>
    <t>claudia.cubillos@slepaconcagua.gob.cl</t>
  </si>
  <si>
    <t>Claudia Cubillos</t>
  </si>
  <si>
    <t>12.600.439-7</t>
  </si>
  <si>
    <t>Puelche</t>
  </si>
  <si>
    <t>Javiera Marisol Rivas González</t>
  </si>
  <si>
    <t>20.022.319-5</t>
  </si>
  <si>
    <t>javiera.rivas@sleppuelche.gob.cl</t>
  </si>
  <si>
    <t>Los Álamos</t>
  </si>
  <si>
    <t>Claudio Wilson Valenzuela</t>
  </si>
  <si>
    <t>claudio.wilson@sleplosalamos.gob.cl</t>
  </si>
  <si>
    <t>reporte_petroca.html</t>
  </si>
  <si>
    <t>reporte_los_andes.html</t>
  </si>
  <si>
    <t>reporte_aconcagua.html</t>
  </si>
  <si>
    <t>reporte_puelche.html</t>
  </si>
  <si>
    <t>reporte_los_álamos.html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</si>
</sst>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"/>
      <family val="2"/>
    </font>
    <font>
      <sz val="11"/>
      <color rgb="FF000000"/>
      <name val="Segoe UI"/>
      <family val="2"/>
    </font>
    <font>
      <sz val="13"/>
      <color rgb="FF002451"/>
      <name val="Aptos Display"/>
      <family val="2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0" xfId="1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19">
    <dxf>
      <font>
        <b val="0"/>
        <i val="0"/>
        <strike val="0"/>
        <outline val="0"/>
        <shadow val="0"/>
        <u val="none"/>
        <vertAlign val="baseli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</font>
      <alignment horizontal="left" vertical="center" textRotation="0" wrapText="0" indent="0" justifyLastLine="0" shrinkToFit="0" readingOrder="0"/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55D7C-9877-46E0-92DF-E3EBF603DAAC}" name="Tabla1" displayName="Tabla1" ref="A1:H34" totalsRowShown="0" dataDxfId="0">
  <autoFilter ref="A1:H34" xr:uid="{FB655D7C-9877-46E0-92DF-E3EBF603DAAC}"/>
  <tableColumns count="8">
    <tableColumn id="7" xr3:uid="{81F1FDBA-6F8D-4F84-B350-BE6DAEB4513E}" name="Tipo_SLEP" dataDxfId="8"/>
    <tableColumn id="1" xr3:uid="{71E197A0-A7D1-4117-A637-141CAE5153C7}" name="SLEP" dataDxfId="7"/>
    <tableColumn id="2" xr3:uid="{7E154C76-62D9-49AC-8A5C-38CF45CFD1DA}" name="Nombre Completo" dataDxfId="6" dataCellStyle="Hipervínculo"/>
    <tableColumn id="6" xr3:uid="{B28C7421-A9F8-41E9-9CE2-9190783BC6C3}" name="Nombre" dataDxfId="5" dataCellStyle="Hipervínculo">
      <calculatedColumnFormula>LEFT(Tabla1[[#This Row],[Nombre Completo]],SEARCH(" ",Tabla1[[#This Row],[Nombre Completo]],1)-1)</calculatedColumnFormula>
    </tableColumn>
    <tableColumn id="8" xr3:uid="{D31AB802-9D0A-47E2-B51A-3E1504C462E0}" name="RUT" dataDxfId="4"/>
    <tableColumn id="3" xr3:uid="{BFEBADF9-4E36-4F51-BFFE-B6A3E1E4CDC8}" name="correo" dataDxfId="3" dataCellStyle="Hipervínculo"/>
    <tableColumn id="4" xr3:uid="{146F0A02-05F8-4FED-86F3-F5493953AC21}" name="copia" dataDxfId="2"/>
    <tableColumn id="5" xr3:uid="{6F51BF54-5EDB-4B9D-B425-9871551CED2D}" name="archiv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olina.figueroa@slepmagallanes.cl" TargetMode="External"/><Relationship Id="rId13" Type="http://schemas.openxmlformats.org/officeDocument/2006/relationships/hyperlink" Target="mailto:maryorie.alquinta@slephuasco.cl" TargetMode="External"/><Relationship Id="rId18" Type="http://schemas.openxmlformats.org/officeDocument/2006/relationships/hyperlink" Target="mailto:marta.hinojosa@slepgm.cl" TargetMode="External"/><Relationship Id="rId26" Type="http://schemas.openxmlformats.org/officeDocument/2006/relationships/hyperlink" Target="mailto:claudio.wilson@sleplosalamos.gob.cl" TargetMode="External"/><Relationship Id="rId3" Type="http://schemas.openxmlformats.org/officeDocument/2006/relationships/hyperlink" Target="mailto:juan.duran@slepsantacorina.gob.cl" TargetMode="External"/><Relationship Id="rId21" Type="http://schemas.openxmlformats.org/officeDocument/2006/relationships/hyperlink" Target="mailto:carolina.aguilera@epchinchorro.cl" TargetMode="External"/><Relationship Id="rId7" Type="http://schemas.openxmlformats.org/officeDocument/2006/relationships/hyperlink" Target="mailto:karla.sepulveda@sleppunillacordillera.cl" TargetMode="External"/><Relationship Id="rId12" Type="http://schemas.openxmlformats.org/officeDocument/2006/relationships/hyperlink" Target="mailto:sandra.padilla@slepca.cl" TargetMode="External"/><Relationship Id="rId17" Type="http://schemas.openxmlformats.org/officeDocument/2006/relationships/hyperlink" Target="mailto:daniela.chamorro@slepb.cl" TargetMode="External"/><Relationship Id="rId25" Type="http://schemas.openxmlformats.org/officeDocument/2006/relationships/hyperlink" Target="mailto:javiera.rivas@sleppuelche.gob.cl" TargetMode="External"/><Relationship Id="rId2" Type="http://schemas.openxmlformats.org/officeDocument/2006/relationships/hyperlink" Target="mailto:luis.gajardo@slepchiloe.gob.cl;" TargetMode="External"/><Relationship Id="rId16" Type="http://schemas.openxmlformats.org/officeDocument/2006/relationships/hyperlink" Target="mailto:angeline.castillo@slepvalparaiso.cl" TargetMode="External"/><Relationship Id="rId20" Type="http://schemas.openxmlformats.org/officeDocument/2006/relationships/hyperlink" Target="mailto:elena.saez@andaliensur.cl" TargetMode="External"/><Relationship Id="rId1" Type="http://schemas.openxmlformats.org/officeDocument/2006/relationships/hyperlink" Target="mailto:ana.galleguillos@slepllanquihue.cl" TargetMode="External"/><Relationship Id="rId6" Type="http://schemas.openxmlformats.org/officeDocument/2006/relationships/hyperlink" Target="mailto:eugenio.fierro@sleppunillacordillera.cl" TargetMode="External"/><Relationship Id="rId11" Type="http://schemas.openxmlformats.org/officeDocument/2006/relationships/hyperlink" Target="mailto:mario.reyes@slepiquique.cl" TargetMode="External"/><Relationship Id="rId24" Type="http://schemas.openxmlformats.org/officeDocument/2006/relationships/hyperlink" Target="mailto:claudia.cubillos@slepaconcagua.gob.cl" TargetMode="External"/><Relationship Id="rId5" Type="http://schemas.openxmlformats.org/officeDocument/2006/relationships/hyperlink" Target="mailto:rodrigo.yanez@edudelpino.gob.cl" TargetMode="External"/><Relationship Id="rId15" Type="http://schemas.openxmlformats.org/officeDocument/2006/relationships/hyperlink" Target="mailto:margarita.campillo@slepuertocordillera.cl" TargetMode="External"/><Relationship Id="rId23" Type="http://schemas.openxmlformats.org/officeDocument/2006/relationships/hyperlink" Target="mailto:carolina.villagra@sleppetorca.gob.cl" TargetMode="External"/><Relationship Id="rId10" Type="http://schemas.openxmlformats.org/officeDocument/2006/relationships/hyperlink" Target="mailto:ivy.guedeney@slepaysen.cl" TargetMode="External"/><Relationship Id="rId19" Type="http://schemas.openxmlformats.org/officeDocument/2006/relationships/hyperlink" Target="mailto:oscar.ubilla@slepcolchagua.cl" TargetMode="External"/><Relationship Id="rId4" Type="http://schemas.openxmlformats.org/officeDocument/2006/relationships/hyperlink" Target="mailto:david.cruz@sleplicancabur.cl" TargetMode="External"/><Relationship Id="rId9" Type="http://schemas.openxmlformats.org/officeDocument/2006/relationships/hyperlink" Target="mailto:freddy.moraga@slepaysen.cl" TargetMode="External"/><Relationship Id="rId14" Type="http://schemas.openxmlformats.org/officeDocument/2006/relationships/hyperlink" Target="mailto:marcelo.quiroga@slepatacama.cl" TargetMode="External"/><Relationship Id="rId22" Type="http://schemas.openxmlformats.org/officeDocument/2006/relationships/hyperlink" Target="mailto:shirley.villegas@epchinchorro.cl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H31" sqref="H31"/>
    </sheetView>
  </sheetViews>
  <sheetFormatPr baseColWidth="10" defaultColWidth="9.1796875" defaultRowHeight="14.5" x14ac:dyDescent="0.35"/>
  <cols>
    <col min="1" max="1" width="9.36328125" bestFit="1" customWidth="1"/>
    <col min="2" max="2" width="16.453125" bestFit="1" customWidth="1"/>
    <col min="3" max="3" width="18" bestFit="1" customWidth="1"/>
    <col min="4" max="5" width="18" customWidth="1"/>
    <col min="6" max="6" width="40.26953125" bestFit="1" customWidth="1"/>
    <col min="7" max="7" width="19.26953125" customWidth="1"/>
    <col min="8" max="8" width="25.54296875" bestFit="1" customWidth="1"/>
  </cols>
  <sheetData>
    <row r="1" spans="1:8" x14ac:dyDescent="0.35">
      <c r="A1" t="s">
        <v>116</v>
      </c>
      <c r="B1" t="s">
        <v>0</v>
      </c>
      <c r="C1" t="s">
        <v>82</v>
      </c>
      <c r="D1" t="s">
        <v>1</v>
      </c>
      <c r="E1" t="s">
        <v>122</v>
      </c>
      <c r="F1" t="s">
        <v>2</v>
      </c>
      <c r="G1" t="s">
        <v>10</v>
      </c>
      <c r="H1" t="s">
        <v>3</v>
      </c>
    </row>
    <row r="2" spans="1:8" x14ac:dyDescent="0.35">
      <c r="A2" s="2" t="s">
        <v>117</v>
      </c>
      <c r="B2" s="1" t="s">
        <v>4</v>
      </c>
      <c r="C2" s="5" t="s">
        <v>5</v>
      </c>
      <c r="D2" s="5" t="str">
        <f>LEFT(Tabla1[[#This Row],[Nombre Completo]],SEARCH(" ",Tabla1[[#This Row],[Nombre Completo]],1)-1)</f>
        <v>Ana</v>
      </c>
      <c r="E2" s="5"/>
      <c r="F2" s="4" t="s">
        <v>6</v>
      </c>
      <c r="G2" s="4"/>
      <c r="H2" s="1" t="s">
        <v>83</v>
      </c>
    </row>
    <row r="3" spans="1:8" x14ac:dyDescent="0.35">
      <c r="A3" s="1" t="s">
        <v>117</v>
      </c>
      <c r="B3" s="1" t="s">
        <v>7</v>
      </c>
      <c r="C3" s="1" t="s">
        <v>8</v>
      </c>
      <c r="D3" s="1" t="str">
        <f>LEFT(Tabla1[[#This Row],[Nombre Completo]],SEARCH(" ",Tabla1[[#This Row],[Nombre Completo]],1)-1)</f>
        <v>Eduardo</v>
      </c>
      <c r="E3" s="1"/>
      <c r="F3" s="1" t="s">
        <v>9</v>
      </c>
      <c r="G3" s="4" t="s">
        <v>11</v>
      </c>
      <c r="H3" s="1" t="s">
        <v>87</v>
      </c>
    </row>
    <row r="4" spans="1:8" x14ac:dyDescent="0.35">
      <c r="A4" s="2" t="s">
        <v>117</v>
      </c>
      <c r="B4" s="1" t="s">
        <v>12</v>
      </c>
      <c r="C4" s="5" t="s">
        <v>13</v>
      </c>
      <c r="D4" s="5" t="str">
        <f>LEFT(Tabla1[[#This Row],[Nombre Completo]],SEARCH(" ",Tabla1[[#This Row],[Nombre Completo]],1)-1)</f>
        <v>Jasmín</v>
      </c>
      <c r="E4" s="5"/>
      <c r="F4" s="4" t="s">
        <v>14</v>
      </c>
      <c r="G4" s="1"/>
      <c r="H4" s="1" t="s">
        <v>84</v>
      </c>
    </row>
    <row r="5" spans="1:8" x14ac:dyDescent="0.35">
      <c r="A5" s="1" t="s">
        <v>117</v>
      </c>
      <c r="B5" s="1" t="s">
        <v>15</v>
      </c>
      <c r="C5" s="5" t="s">
        <v>17</v>
      </c>
      <c r="D5" s="5" t="str">
        <f>LEFT(Tabla1[[#This Row],[Nombre Completo]],SEARCH(" ",Tabla1[[#This Row],[Nombre Completo]],1)-1)</f>
        <v>Jenson</v>
      </c>
      <c r="E5" s="5"/>
      <c r="F5" s="4" t="s">
        <v>18</v>
      </c>
      <c r="G5" s="4" t="s">
        <v>16</v>
      </c>
      <c r="H5" s="1" t="s">
        <v>96</v>
      </c>
    </row>
    <row r="6" spans="1:8" x14ac:dyDescent="0.35">
      <c r="A6" s="2" t="s">
        <v>117</v>
      </c>
      <c r="B6" s="1" t="s">
        <v>19</v>
      </c>
      <c r="C6" s="5" t="s">
        <v>20</v>
      </c>
      <c r="D6" s="5" t="str">
        <f>LEFT(Tabla1[[#This Row],[Nombre Completo]],SEARCH(" ",Tabla1[[#This Row],[Nombre Completo]],1)-1)</f>
        <v>Juan</v>
      </c>
      <c r="E6" s="5"/>
      <c r="F6" s="4" t="s">
        <v>21</v>
      </c>
      <c r="G6" s="1"/>
      <c r="H6" s="1" t="s">
        <v>97</v>
      </c>
    </row>
    <row r="7" spans="1:8" x14ac:dyDescent="0.35">
      <c r="A7" s="1" t="s">
        <v>117</v>
      </c>
      <c r="B7" s="1" t="s">
        <v>22</v>
      </c>
      <c r="C7" s="5" t="s">
        <v>23</v>
      </c>
      <c r="D7" s="5" t="str">
        <f>LEFT(Tabla1[[#This Row],[Nombre Completo]],SEARCH(" ",Tabla1[[#This Row],[Nombre Completo]],1)-1)</f>
        <v>Yolanda</v>
      </c>
      <c r="E7" s="5"/>
      <c r="F7" s="4" t="s">
        <v>24</v>
      </c>
      <c r="G7" s="1"/>
      <c r="H7" s="1" t="s">
        <v>98</v>
      </c>
    </row>
    <row r="8" spans="1:8" x14ac:dyDescent="0.35">
      <c r="A8" s="2" t="s">
        <v>117</v>
      </c>
      <c r="B8" s="1" t="s">
        <v>25</v>
      </c>
      <c r="C8" s="5" t="s">
        <v>26</v>
      </c>
      <c r="D8" s="5" t="str">
        <f>LEFT(Tabla1[[#This Row],[Nombre Completo]],SEARCH(" ",Tabla1[[#This Row],[Nombre Completo]],1)-1)</f>
        <v>Manuel</v>
      </c>
      <c r="E8" s="5"/>
      <c r="F8" s="4" t="s">
        <v>27</v>
      </c>
      <c r="G8" s="1"/>
      <c r="H8" s="1" t="s">
        <v>99</v>
      </c>
    </row>
    <row r="9" spans="1:8" x14ac:dyDescent="0.35">
      <c r="A9" s="1" t="s">
        <v>117</v>
      </c>
      <c r="B9" s="1" t="s">
        <v>28</v>
      </c>
      <c r="C9" s="5" t="s">
        <v>29</v>
      </c>
      <c r="D9" s="5" t="str">
        <f>LEFT(Tabla1[[#This Row],[Nombre Completo]],SEARCH(" ",Tabla1[[#This Row],[Nombre Completo]],1)-1)</f>
        <v>David</v>
      </c>
      <c r="E9" s="5"/>
      <c r="F9" s="4" t="s">
        <v>30</v>
      </c>
      <c r="G9" s="1"/>
      <c r="H9" s="1" t="s">
        <v>85</v>
      </c>
    </row>
    <row r="10" spans="1:8" x14ac:dyDescent="0.35">
      <c r="A10" s="2" t="s">
        <v>117</v>
      </c>
      <c r="B10" s="1" t="s">
        <v>31</v>
      </c>
      <c r="C10" s="5" t="s">
        <v>35</v>
      </c>
      <c r="D10" s="5" t="str">
        <f>LEFT(Tabla1[[#This Row],[Nombre Completo]],SEARCH(" ",Tabla1[[#This Row],[Nombre Completo]],1)-1)</f>
        <v>Marcela</v>
      </c>
      <c r="E10" s="5"/>
      <c r="F10" s="4" t="s">
        <v>36</v>
      </c>
      <c r="G10" s="1"/>
      <c r="H10" s="1" t="s">
        <v>95</v>
      </c>
    </row>
    <row r="11" spans="1:8" x14ac:dyDescent="0.35">
      <c r="A11" s="1" t="s">
        <v>117</v>
      </c>
      <c r="B11" s="1" t="s">
        <v>32</v>
      </c>
      <c r="C11" s="5" t="s">
        <v>33</v>
      </c>
      <c r="D11" s="5" t="str">
        <f>LEFT(Tabla1[[#This Row],[Nombre Completo]],SEARCH(" ",Tabla1[[#This Row],[Nombre Completo]],1)-1)</f>
        <v>Rodrigo</v>
      </c>
      <c r="E11" s="5"/>
      <c r="F11" s="4" t="s">
        <v>34</v>
      </c>
      <c r="G11" s="1"/>
      <c r="H11" s="1" t="s">
        <v>100</v>
      </c>
    </row>
    <row r="12" spans="1:8" x14ac:dyDescent="0.35">
      <c r="A12" s="2" t="s">
        <v>117</v>
      </c>
      <c r="B12" s="1" t="s">
        <v>37</v>
      </c>
      <c r="C12" s="5" t="s">
        <v>38</v>
      </c>
      <c r="D12" s="5" t="str">
        <f>LEFT(Tabla1[[#This Row],[Nombre Completo]],SEARCH(" ",Tabla1[[#This Row],[Nombre Completo]],1)-1)</f>
        <v>Eugenio</v>
      </c>
      <c r="E12" s="5"/>
      <c r="F12" s="4" t="s">
        <v>39</v>
      </c>
      <c r="G12" s="4" t="s">
        <v>40</v>
      </c>
      <c r="H12" s="1" t="s">
        <v>101</v>
      </c>
    </row>
    <row r="13" spans="1:8" x14ac:dyDescent="0.35">
      <c r="A13" s="1" t="s">
        <v>117</v>
      </c>
      <c r="B13" s="1" t="s">
        <v>41</v>
      </c>
      <c r="C13" s="5" t="s">
        <v>42</v>
      </c>
      <c r="D13" s="5" t="str">
        <f>LEFT(Tabla1[[#This Row],[Nombre Completo]],SEARCH(" ",Tabla1[[#This Row],[Nombre Completo]],1)-1)</f>
        <v>Carolina</v>
      </c>
      <c r="E13" s="5"/>
      <c r="F13" s="4" t="s">
        <v>43</v>
      </c>
      <c r="G13" s="1"/>
      <c r="H13" s="1" t="s">
        <v>86</v>
      </c>
    </row>
    <row r="14" spans="1:8" x14ac:dyDescent="0.35">
      <c r="A14" s="2" t="s">
        <v>117</v>
      </c>
      <c r="B14" s="1" t="s">
        <v>44</v>
      </c>
      <c r="C14" s="5" t="s">
        <v>46</v>
      </c>
      <c r="D14" s="5" t="str">
        <f>LEFT(Tabla1[[#This Row],[Nombre Completo]],SEARCH(" ",Tabla1[[#This Row],[Nombre Completo]],1)-1)</f>
        <v>Ivy</v>
      </c>
      <c r="E14" s="5"/>
      <c r="F14" s="4" t="s">
        <v>47</v>
      </c>
      <c r="G14" s="4" t="s">
        <v>45</v>
      </c>
      <c r="H14" s="1" t="s">
        <v>106</v>
      </c>
    </row>
    <row r="15" spans="1:8" x14ac:dyDescent="0.35">
      <c r="A15" s="1" t="s">
        <v>117</v>
      </c>
      <c r="B15" s="1" t="s">
        <v>48</v>
      </c>
      <c r="C15" s="5" t="s">
        <v>49</v>
      </c>
      <c r="D15" s="5" t="str">
        <f>LEFT(Tabla1[[#This Row],[Nombre Completo]],SEARCH(" ",Tabla1[[#This Row],[Nombre Completo]],1)-1)</f>
        <v>Mario</v>
      </c>
      <c r="E15" s="5"/>
      <c r="F15" s="4" t="s">
        <v>50</v>
      </c>
      <c r="G15" s="1"/>
      <c r="H15" s="1" t="s">
        <v>88</v>
      </c>
    </row>
    <row r="16" spans="1:8" x14ac:dyDescent="0.35">
      <c r="A16" s="2" t="s">
        <v>117</v>
      </c>
      <c r="B16" s="1" t="s">
        <v>51</v>
      </c>
      <c r="C16" s="5" t="s">
        <v>52</v>
      </c>
      <c r="D16" s="5" t="str">
        <f>LEFT(Tabla1[[#This Row],[Nombre Completo]],SEARCH(" ",Tabla1[[#This Row],[Nombre Completo]],1)-1)</f>
        <v>Sandra</v>
      </c>
      <c r="E16" s="5"/>
      <c r="F16" s="4" t="s">
        <v>53</v>
      </c>
      <c r="G16" s="1"/>
      <c r="H16" s="1" t="s">
        <v>102</v>
      </c>
    </row>
    <row r="17" spans="1:8" x14ac:dyDescent="0.35">
      <c r="A17" s="1" t="s">
        <v>117</v>
      </c>
      <c r="B17" s="1" t="s">
        <v>54</v>
      </c>
      <c r="C17" s="6" t="s">
        <v>55</v>
      </c>
      <c r="D17" s="6" t="str">
        <f>LEFT(Tabla1[[#This Row],[Nombre Completo]],SEARCH(" ",Tabla1[[#This Row],[Nombre Completo]],1)-1)</f>
        <v>Marcelo</v>
      </c>
      <c r="E17" s="6"/>
      <c r="F17" s="4" t="s">
        <v>56</v>
      </c>
      <c r="G17" s="1"/>
      <c r="H17" s="1" t="s">
        <v>89</v>
      </c>
    </row>
    <row r="18" spans="1:8" x14ac:dyDescent="0.35">
      <c r="A18" s="2" t="s">
        <v>117</v>
      </c>
      <c r="B18" s="1" t="s">
        <v>57</v>
      </c>
      <c r="C18" s="6" t="s">
        <v>58</v>
      </c>
      <c r="D18" s="6" t="str">
        <f>LEFT(Tabla1[[#This Row],[Nombre Completo]],SEARCH(" ",Tabla1[[#This Row],[Nombre Completo]],1)-1)</f>
        <v>Maryorie</v>
      </c>
      <c r="E18" s="6"/>
      <c r="F18" s="4" t="s">
        <v>59</v>
      </c>
      <c r="G18" s="1"/>
      <c r="H18" s="1" t="s">
        <v>90</v>
      </c>
    </row>
    <row r="19" spans="1:8" x14ac:dyDescent="0.35">
      <c r="A19" s="1" t="s">
        <v>117</v>
      </c>
      <c r="B19" s="1" t="s">
        <v>60</v>
      </c>
      <c r="C19" s="6" t="s">
        <v>61</v>
      </c>
      <c r="D19" s="6" t="str">
        <f>LEFT(Tabla1[[#This Row],[Nombre Completo]],SEARCH(" ",Tabla1[[#This Row],[Nombre Completo]],1)-1)</f>
        <v>Margarita</v>
      </c>
      <c r="E19" s="6"/>
      <c r="F19" s="4" t="s">
        <v>62</v>
      </c>
      <c r="G19" s="1"/>
      <c r="H19" s="1" t="s">
        <v>103</v>
      </c>
    </row>
    <row r="20" spans="1:8" x14ac:dyDescent="0.35">
      <c r="A20" s="2" t="s">
        <v>117</v>
      </c>
      <c r="B20" s="1" t="s">
        <v>63</v>
      </c>
      <c r="C20" s="6" t="s">
        <v>64</v>
      </c>
      <c r="D20" s="6" t="str">
        <f>LEFT(Tabla1[[#This Row],[Nombre Completo]],SEARCH(" ",Tabla1[[#This Row],[Nombre Completo]],1)-1)</f>
        <v>Angeline</v>
      </c>
      <c r="E20" s="6"/>
      <c r="F20" s="4" t="s">
        <v>65</v>
      </c>
      <c r="G20" s="1"/>
      <c r="H20" s="1" t="s">
        <v>91</v>
      </c>
    </row>
    <row r="21" spans="1:8" x14ac:dyDescent="0.35">
      <c r="A21" s="1" t="s">
        <v>117</v>
      </c>
      <c r="B21" s="1" t="s">
        <v>66</v>
      </c>
      <c r="C21" s="6" t="s">
        <v>67</v>
      </c>
      <c r="D21" s="6" t="str">
        <f>LEFT(Tabla1[[#This Row],[Nombre Completo]],SEARCH(" ",Tabla1[[#This Row],[Nombre Completo]],1)-1)</f>
        <v>Daniela</v>
      </c>
      <c r="E21" s="6"/>
      <c r="F21" s="4" t="s">
        <v>68</v>
      </c>
      <c r="G21" s="1"/>
      <c r="H21" s="1" t="s">
        <v>92</v>
      </c>
    </row>
    <row r="22" spans="1:8" x14ac:dyDescent="0.35">
      <c r="A22" s="2" t="s">
        <v>117</v>
      </c>
      <c r="B22" s="1" t="s">
        <v>69</v>
      </c>
      <c r="C22" s="6" t="s">
        <v>70</v>
      </c>
      <c r="D22" s="6" t="str">
        <f>LEFT(Tabla1[[#This Row],[Nombre Completo]],SEARCH(" ",Tabla1[[#This Row],[Nombre Completo]],1)-1)</f>
        <v>Marta</v>
      </c>
      <c r="E22" s="6"/>
      <c r="F22" s="4" t="s">
        <v>71</v>
      </c>
      <c r="G22" s="1"/>
      <c r="H22" s="1" t="s">
        <v>104</v>
      </c>
    </row>
    <row r="23" spans="1:8" x14ac:dyDescent="0.35">
      <c r="A23" s="1" t="s">
        <v>117</v>
      </c>
      <c r="B23" s="1" t="s">
        <v>72</v>
      </c>
      <c r="C23" s="6" t="s">
        <v>73</v>
      </c>
      <c r="D23" s="6" t="str">
        <f>LEFT(Tabla1[[#This Row],[Nombre Completo]],SEARCH(" ",Tabla1[[#This Row],[Nombre Completo]],1)-1)</f>
        <v>Oscar</v>
      </c>
      <c r="E23" s="6"/>
      <c r="F23" s="4" t="s">
        <v>74</v>
      </c>
      <c r="G23" s="1"/>
      <c r="H23" s="1" t="s">
        <v>93</v>
      </c>
    </row>
    <row r="24" spans="1:8" x14ac:dyDescent="0.35">
      <c r="A24" s="2" t="s">
        <v>117</v>
      </c>
      <c r="B24" s="1" t="s">
        <v>75</v>
      </c>
      <c r="C24" s="6" t="s">
        <v>76</v>
      </c>
      <c r="D24" s="6" t="str">
        <f>LEFT(Tabla1[[#This Row],[Nombre Completo]],SEARCH(" ",Tabla1[[#This Row],[Nombre Completo]],1)-1)</f>
        <v>Elena</v>
      </c>
      <c r="E24" s="6"/>
      <c r="F24" s="4" t="s">
        <v>77</v>
      </c>
      <c r="G24" s="1"/>
      <c r="H24" s="1" t="s">
        <v>105</v>
      </c>
    </row>
    <row r="25" spans="1:8" x14ac:dyDescent="0.35">
      <c r="A25" s="1" t="s">
        <v>117</v>
      </c>
      <c r="B25" s="1" t="s">
        <v>78</v>
      </c>
      <c r="C25" s="6" t="s">
        <v>79</v>
      </c>
      <c r="D25" s="6" t="str">
        <f>LEFT(Tabla1[[#This Row],[Nombre Completo]],SEARCH(" ",Tabla1[[#This Row],[Nombre Completo]],1)-1)</f>
        <v>Carolina</v>
      </c>
      <c r="E25" s="6"/>
      <c r="F25" s="4" t="s">
        <v>80</v>
      </c>
      <c r="G25" s="4" t="s">
        <v>81</v>
      </c>
      <c r="H25" s="1" t="s">
        <v>94</v>
      </c>
    </row>
    <row r="26" spans="1:8" x14ac:dyDescent="0.35">
      <c r="A26" s="2" t="s">
        <v>117</v>
      </c>
      <c r="B26" s="1" t="s">
        <v>107</v>
      </c>
      <c r="C26" s="6" t="s">
        <v>108</v>
      </c>
      <c r="D26" s="7" t="str">
        <f>LEFT(Tabla1[[#This Row],[Nombre Completo]],SEARCH(" ",Tabla1[[#This Row],[Nombre Completo]],1)-1)</f>
        <v>Tomás</v>
      </c>
      <c r="E26" s="7"/>
      <c r="F26" s="4" t="s">
        <v>109</v>
      </c>
      <c r="G26" s="1"/>
      <c r="H26" s="1" t="s">
        <v>110</v>
      </c>
    </row>
    <row r="27" spans="1:8" x14ac:dyDescent="0.35">
      <c r="A27" s="1" t="s">
        <v>117</v>
      </c>
      <c r="B27" s="1" t="s">
        <v>111</v>
      </c>
      <c r="C27" s="6" t="s">
        <v>113</v>
      </c>
      <c r="D27" s="7" t="str">
        <f>LEFT(Tabla1[[#This Row],[Nombre Completo]],SEARCH(" ",Tabla1[[#This Row],[Nombre Completo]],1)-1)</f>
        <v>Rosita</v>
      </c>
      <c r="E27" s="7"/>
      <c r="F27" s="4" t="s">
        <v>112</v>
      </c>
      <c r="G27" s="1" t="s">
        <v>115</v>
      </c>
      <c r="H27" s="1" t="s">
        <v>114</v>
      </c>
    </row>
    <row r="28" spans="1:8" ht="16.5" x14ac:dyDescent="0.35">
      <c r="A28" s="1" t="s">
        <v>118</v>
      </c>
      <c r="B28" s="1" t="s">
        <v>119</v>
      </c>
      <c r="C28" s="3" t="s">
        <v>120</v>
      </c>
      <c r="D28" s="7" t="str">
        <f>LEFT(Tabla1[[#This Row],[Nombre Completo]],SEARCH(" ",Tabla1[[#This Row],[Nombre Completo]],1)-1)</f>
        <v>Carolina</v>
      </c>
      <c r="E28" s="3" t="s">
        <v>123</v>
      </c>
      <c r="F28" s="4" t="s">
        <v>121</v>
      </c>
      <c r="G28" s="1"/>
      <c r="H28" s="1" t="s">
        <v>139</v>
      </c>
    </row>
    <row r="29" spans="1:8" ht="16" x14ac:dyDescent="0.35">
      <c r="A29" s="1" t="s">
        <v>118</v>
      </c>
      <c r="B29" s="1" t="s">
        <v>124</v>
      </c>
      <c r="C29" s="6" t="s">
        <v>125</v>
      </c>
      <c r="D29" s="7" t="str">
        <f>LEFT(Tabla1[[#This Row],[Nombre Completo]],SEARCH(" ",Tabla1[[#This Row],[Nombre Completo]],1)-1)</f>
        <v>Miguel</v>
      </c>
      <c r="E29" s="8" t="s">
        <v>126</v>
      </c>
      <c r="F29" s="4" t="s">
        <v>127</v>
      </c>
      <c r="G29" s="1"/>
      <c r="H29" s="1" t="s">
        <v>140</v>
      </c>
    </row>
    <row r="30" spans="1:8" ht="16" x14ac:dyDescent="0.35">
      <c r="A30" s="1" t="s">
        <v>118</v>
      </c>
      <c r="B30" s="1" t="s">
        <v>128</v>
      </c>
      <c r="C30" s="6" t="s">
        <v>130</v>
      </c>
      <c r="D30" s="7" t="str">
        <f>LEFT(Tabla1[[#This Row],[Nombre Completo]],SEARCH(" ",Tabla1[[#This Row],[Nombre Completo]],1)-1)</f>
        <v>Claudia</v>
      </c>
      <c r="E30" s="8" t="s">
        <v>131</v>
      </c>
      <c r="F30" s="4" t="s">
        <v>129</v>
      </c>
      <c r="G30" s="1"/>
      <c r="H30" s="1" t="s">
        <v>141</v>
      </c>
    </row>
    <row r="31" spans="1:8" ht="17" x14ac:dyDescent="0.35">
      <c r="A31" s="1" t="s">
        <v>118</v>
      </c>
      <c r="B31" s="1" t="s">
        <v>132</v>
      </c>
      <c r="C31" s="9" t="s">
        <v>133</v>
      </c>
      <c r="D31" s="7" t="str">
        <f>LEFT(Tabla1[[#This Row],[Nombre Completo]],SEARCH(" ",Tabla1[[#This Row],[Nombre Completo]],1)-1)</f>
        <v>Javiera</v>
      </c>
      <c r="E31" s="9" t="s">
        <v>134</v>
      </c>
      <c r="F31" s="4" t="s">
        <v>135</v>
      </c>
      <c r="G31" s="1"/>
      <c r="H31" s="1" t="s">
        <v>142</v>
      </c>
    </row>
    <row r="32" spans="1:8" x14ac:dyDescent="0.35">
      <c r="A32" s="1" t="s">
        <v>118</v>
      </c>
      <c r="B32" s="1" t="s">
        <v>136</v>
      </c>
      <c r="C32" s="6" t="s">
        <v>137</v>
      </c>
      <c r="D32" s="7" t="str">
        <f>LEFT(Tabla1[[#This Row],[Nombre Completo]],SEARCH(" ",Tabla1[[#This Row],[Nombre Completo]],1)-1)</f>
        <v>Claudio</v>
      </c>
      <c r="E32" s="1"/>
      <c r="F32" s="4" t="s">
        <v>138</v>
      </c>
      <c r="G32" s="1"/>
      <c r="H32" s="1" t="s">
        <v>143</v>
      </c>
    </row>
    <row r="33" spans="1:8" x14ac:dyDescent="0.35">
      <c r="A33" s="1"/>
      <c r="B33" s="1"/>
      <c r="C33" s="6"/>
      <c r="D33" s="7"/>
      <c r="E33" s="1"/>
      <c r="F33" s="4"/>
      <c r="G33" s="1"/>
      <c r="H33" s="1"/>
    </row>
    <row r="34" spans="1:8" x14ac:dyDescent="0.35">
      <c r="A34" s="1"/>
      <c r="B34" s="1"/>
      <c r="C34" s="6"/>
      <c r="D34" s="7"/>
      <c r="E34" s="1"/>
      <c r="F34" s="4"/>
      <c r="G34" s="1"/>
      <c r="H34" s="1"/>
    </row>
  </sheetData>
  <conditionalFormatting sqref="A3:B3">
    <cfRule type="expression" dxfId="18" priority="19">
      <formula>$U3=1</formula>
    </cfRule>
  </conditionalFormatting>
  <conditionalFormatting sqref="B4:F4 B5:E5 G5 G14 A4:A5 A14:E14">
    <cfRule type="expression" dxfId="17" priority="18">
      <formula>$T4=1</formula>
    </cfRule>
  </conditionalFormatting>
  <conditionalFormatting sqref="B6:F13">
    <cfRule type="expression" dxfId="16" priority="9">
      <formula>$T6=1</formula>
    </cfRule>
  </conditionalFormatting>
  <conditionalFormatting sqref="B15:F25">
    <cfRule type="expression" dxfId="15" priority="4">
      <formula>$T15=1</formula>
    </cfRule>
  </conditionalFormatting>
  <conditionalFormatting sqref="C2:E2">
    <cfRule type="expression" dxfId="14" priority="21">
      <formula>$U2=1</formula>
    </cfRule>
  </conditionalFormatting>
  <conditionalFormatting sqref="F5">
    <cfRule type="expression" dxfId="13" priority="16">
      <formula>$T5=1</formula>
    </cfRule>
  </conditionalFormatting>
  <conditionalFormatting sqref="F2:G2">
    <cfRule type="expression" dxfId="12" priority="20">
      <formula>$U2=1</formula>
    </cfRule>
  </conditionalFormatting>
  <conditionalFormatting sqref="G25">
    <cfRule type="expression" dxfId="11" priority="3">
      <formula>$T25=1</formula>
    </cfRule>
  </conditionalFormatting>
  <conditionalFormatting sqref="A6:A13">
    <cfRule type="expression" dxfId="10" priority="2">
      <formula>$T6=1</formula>
    </cfRule>
  </conditionalFormatting>
  <conditionalFormatting sqref="A15:A25">
    <cfRule type="expression" dxfId="9" priority="1">
      <formula>$T15=1</formula>
    </cfRule>
  </conditionalFormatting>
  <hyperlinks>
    <hyperlink ref="F2" r:id="rId1" xr:uid="{C0737CE7-E542-4D1C-BA03-6991C3CF34C6}"/>
    <hyperlink ref="G3" r:id="rId2" display="luis.gajardo@slepchiloe.gob.cl;" xr:uid="{8687092E-077F-44E0-8596-381E03D641E8}"/>
    <hyperlink ref="F6" r:id="rId3" xr:uid="{00B2325A-F588-41ED-AC5B-9DB5D89931CC}"/>
    <hyperlink ref="F9" r:id="rId4" xr:uid="{13C55916-204E-4C3E-A397-C0E811E2FDC2}"/>
    <hyperlink ref="F11" r:id="rId5" xr:uid="{20C85ACE-7FF3-4FE2-BC88-162377C43342}"/>
    <hyperlink ref="F12" r:id="rId6" xr:uid="{BB5038CA-BC9D-4D65-B196-5820788BA999}"/>
    <hyperlink ref="G12" r:id="rId7" display="mailto:karla.sepulveda@sleppunillacordillera.cl" xr:uid="{FA9727FC-D1CA-4EF4-B723-4BF30F5C5E51}"/>
    <hyperlink ref="F13" r:id="rId8" xr:uid="{0773547D-CCAE-4E00-A502-AB5D3C7A5D4F}"/>
    <hyperlink ref="G14" r:id="rId9" xr:uid="{AC730A02-E5F5-4866-BC84-CA9DE3712292}"/>
    <hyperlink ref="F14" r:id="rId10" xr:uid="{7231EF4D-AE48-4627-B0B7-6060424EA064}"/>
    <hyperlink ref="F15" r:id="rId11" xr:uid="{CE4BA5E9-B40D-408E-A689-CDF23E66341C}"/>
    <hyperlink ref="F16" r:id="rId12" xr:uid="{AEDEA0EB-604C-4C31-9304-42A01F8A5A3D}"/>
    <hyperlink ref="F18" r:id="rId13" xr:uid="{F7398C85-77F6-4B2F-90F2-2305F57C2050}"/>
    <hyperlink ref="F17" r:id="rId14" xr:uid="{5716803F-2B2A-4A17-BB69-8FDFE706A2AB}"/>
    <hyperlink ref="F19" r:id="rId15" xr:uid="{E9048617-0AB9-404F-AD37-74E9A485BE30}"/>
    <hyperlink ref="F20" r:id="rId16" xr:uid="{E454A7F1-60B0-46A2-BCAF-6EE451073594}"/>
    <hyperlink ref="F21" r:id="rId17" xr:uid="{1127AC0B-364E-4EAD-9D99-A94EA5C42523}"/>
    <hyperlink ref="F22" r:id="rId18" xr:uid="{898CFB37-C10F-4164-9DC8-B35726F71024}"/>
    <hyperlink ref="F23" r:id="rId19" xr:uid="{9ECCB776-E8C3-4105-A6F7-2E6F2A184663}"/>
    <hyperlink ref="F24" r:id="rId20" xr:uid="{4FC5ADBE-181E-43FF-9751-D6D427F0366F}"/>
    <hyperlink ref="F25" r:id="rId21" xr:uid="{8A1E636A-763E-4FEA-AA46-C17108413427}"/>
    <hyperlink ref="G25" r:id="rId22" xr:uid="{BC1D1921-7D71-457C-A023-855DF7FD4289}"/>
    <hyperlink ref="F28" r:id="rId23" display="mailto:carolina.villagra@sleppetorca.gob.cl" xr:uid="{FA5AB3B0-F9E2-45ED-820A-9057AA7CB237}"/>
    <hyperlink ref="F30" r:id="rId24" display="mailto:claudia.cubillos@slepaconcagua.gob.cl" xr:uid="{BF5D4A03-B565-4290-A323-81DEBCE5CFFB}"/>
    <hyperlink ref="F31" r:id="rId25" display="mailto:javiera.rivas@sleppuelche.gob.cl" xr:uid="{0BE46A43-B5C0-4B49-A817-F11FCE265D50}"/>
    <hyperlink ref="F32" r:id="rId26" display="mailto:claudio.wilson@sleplosalamos.gob.cl" xr:uid="{75417199-A8F7-4F2B-95A4-F7A17C2548B4}"/>
  </hyperlinks>
  <pageMargins left="0.7" right="0.7" top="0.75" bottom="0.75" header="0.3" footer="0.3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E922-1D87-4954-BA47-62B6C3653EB0}">
  <dimension ref="A1:A26"/>
  <sheetViews>
    <sheetView topLeftCell="A16" workbookViewId="0">
      <selection sqref="A1:A26"/>
    </sheetView>
  </sheetViews>
  <sheetFormatPr baseColWidth="10" defaultRowHeight="14.5" x14ac:dyDescent="0.35"/>
  <sheetData>
    <row r="1" spans="1:1" x14ac:dyDescent="0.35">
      <c r="A1" t="s">
        <v>4</v>
      </c>
    </row>
    <row r="2" spans="1:1" x14ac:dyDescent="0.35">
      <c r="A2" t="s">
        <v>7</v>
      </c>
    </row>
    <row r="3" spans="1:1" x14ac:dyDescent="0.35">
      <c r="A3" t="s">
        <v>12</v>
      </c>
    </row>
    <row r="4" spans="1:1" x14ac:dyDescent="0.35">
      <c r="A4" t="s">
        <v>15</v>
      </c>
    </row>
    <row r="5" spans="1:1" x14ac:dyDescent="0.35">
      <c r="A5" t="s">
        <v>19</v>
      </c>
    </row>
    <row r="6" spans="1:1" x14ac:dyDescent="0.35">
      <c r="A6" t="s">
        <v>22</v>
      </c>
    </row>
    <row r="7" spans="1:1" x14ac:dyDescent="0.35">
      <c r="A7" t="s">
        <v>25</v>
      </c>
    </row>
    <row r="8" spans="1:1" x14ac:dyDescent="0.35">
      <c r="A8" t="s">
        <v>28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37</v>
      </c>
    </row>
    <row r="12" spans="1:1" x14ac:dyDescent="0.35">
      <c r="A12" t="s">
        <v>41</v>
      </c>
    </row>
    <row r="13" spans="1:1" x14ac:dyDescent="0.35">
      <c r="A13" t="s">
        <v>44</v>
      </c>
    </row>
    <row r="14" spans="1:1" x14ac:dyDescent="0.35">
      <c r="A14" t="s">
        <v>48</v>
      </c>
    </row>
    <row r="15" spans="1:1" x14ac:dyDescent="0.35">
      <c r="A15" t="s">
        <v>51</v>
      </c>
    </row>
    <row r="16" spans="1:1" x14ac:dyDescent="0.35">
      <c r="A16" t="s">
        <v>54</v>
      </c>
    </row>
    <row r="17" spans="1:1" x14ac:dyDescent="0.35">
      <c r="A17" t="s">
        <v>57</v>
      </c>
    </row>
    <row r="18" spans="1:1" x14ac:dyDescent="0.35">
      <c r="A18" t="s">
        <v>60</v>
      </c>
    </row>
    <row r="19" spans="1:1" x14ac:dyDescent="0.35">
      <c r="A19" t="s">
        <v>63</v>
      </c>
    </row>
    <row r="20" spans="1:1" x14ac:dyDescent="0.35">
      <c r="A20" t="s">
        <v>66</v>
      </c>
    </row>
    <row r="21" spans="1:1" x14ac:dyDescent="0.35">
      <c r="A21" t="s">
        <v>69</v>
      </c>
    </row>
    <row r="22" spans="1:1" x14ac:dyDescent="0.35">
      <c r="A22" t="s">
        <v>72</v>
      </c>
    </row>
    <row r="23" spans="1:1" x14ac:dyDescent="0.35">
      <c r="A23" t="s">
        <v>75</v>
      </c>
    </row>
    <row r="24" spans="1:1" x14ac:dyDescent="0.35">
      <c r="A24" t="s">
        <v>78</v>
      </c>
    </row>
    <row r="25" spans="1:1" x14ac:dyDescent="0.35">
      <c r="A25" t="s">
        <v>107</v>
      </c>
    </row>
    <row r="26" spans="1:1" x14ac:dyDescent="0.35">
      <c r="A26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8AD7E-D7E2-48EE-A5BD-CE862A98C9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Arrano Portuguez</dc:creator>
  <cp:lastModifiedBy>Alonso Arrano Portuguez</cp:lastModifiedBy>
  <dcterms:created xsi:type="dcterms:W3CDTF">2015-06-05T18:19:34Z</dcterms:created>
  <dcterms:modified xsi:type="dcterms:W3CDTF">2026-01-07T14:06:44Z</dcterms:modified>
</cp:coreProperties>
</file>